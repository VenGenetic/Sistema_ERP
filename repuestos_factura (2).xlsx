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cuments\Xsistem\Sistema_ERP-main\Sistema_ERP-main\"/>
    </mc:Choice>
  </mc:AlternateContent>
  <xr:revisionPtr revIDLastSave="0" documentId="13_ncr:1_{2D2CEA94-270A-40B9-9F4B-DF33DFC4FBE1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Repues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H32" i="1"/>
  <c r="H30" i="1"/>
  <c r="H29" i="1"/>
  <c r="H28" i="1"/>
  <c r="H24" i="1"/>
  <c r="H21" i="1"/>
  <c r="H20" i="1"/>
  <c r="H19" i="1"/>
  <c r="H18" i="1"/>
  <c r="H17" i="1"/>
  <c r="H16" i="1"/>
  <c r="H15" i="1"/>
  <c r="H13" i="1"/>
  <c r="H12" i="1"/>
  <c r="H11" i="1"/>
  <c r="H8" i="1"/>
  <c r="H7" i="1"/>
  <c r="H6" i="1"/>
  <c r="H5" i="1"/>
  <c r="H4" i="1"/>
  <c r="H3" i="1"/>
  <c r="H2" i="1"/>
  <c r="H9" i="1"/>
  <c r="H10" i="1"/>
  <c r="H14" i="1"/>
  <c r="H22" i="1"/>
  <c r="H23" i="1"/>
  <c r="H25" i="1"/>
  <c r="H26" i="1"/>
  <c r="H27" i="1"/>
  <c r="H31" i="1"/>
  <c r="H34" i="1"/>
  <c r="H35" i="1"/>
  <c r="H36" i="1"/>
  <c r="H37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<sst xmlns="http://schemas.openxmlformats.org/spreadsheetml/2006/main" count="117" uniqueCount="84">
  <si>
    <t>CANT.</t>
  </si>
  <si>
    <t>CÓDIGO</t>
  </si>
  <si>
    <t>UND.</t>
  </si>
  <si>
    <t>DESCRIPCIÓN</t>
  </si>
  <si>
    <t>PRECIO UNITARIO</t>
  </si>
  <si>
    <t>TOTAL</t>
  </si>
  <si>
    <t>BAS-1725</t>
  </si>
  <si>
    <t>UND</t>
  </si>
  <si>
    <t>BASE CARBURADOR DAYTONA DY250 TEKKEN CAUCHO BOST</t>
  </si>
  <si>
    <t>BEN-S1623</t>
  </si>
  <si>
    <t>BENDIX ARRANQUE SOLO DAYTONA DY200WOLF /RANGER CFZ250 16RODILLOS BOST</t>
  </si>
  <si>
    <t>BOB-C1620</t>
  </si>
  <si>
    <t>BOBINA CAMPO DAYTONA DY200WOLF /RANGER CFZ250 12M. 3H 5CABLES PULSER 2</t>
  </si>
  <si>
    <t>BOB-C1675</t>
  </si>
  <si>
    <t>BOBINA CAMPO DAYTONA DY250 SCORPION 12M. 2H. 5PIN PULSER 2CABLES BOST</t>
  </si>
  <si>
    <t>BOM-A1745</t>
  </si>
  <si>
    <t>BOMBA AGUA DAYTONA DY300 SUPER WOLF BOST</t>
  </si>
  <si>
    <t>BOM-F1620-</t>
  </si>
  <si>
    <t>BOMBA FRENO POST. DAYTONA DY200WOLF NEGRO BOST</t>
  </si>
  <si>
    <t>CAB-E6643</t>
  </si>
  <si>
    <t>CABLE EMBRAGUE SHINERAY GP200 /IGM WIN200 /TUKO TK CR5 EVO 250 1155MM</t>
  </si>
  <si>
    <t>CAR-982</t>
  </si>
  <si>
    <t>CARBURADOR CG200 PZ30 CON PALANCA /DY200WOLF /IGMWIND200 /XY200GY BOST</t>
  </si>
  <si>
    <t>CAT-1625</t>
  </si>
  <si>
    <t>CATALINA DAYTONA DY200 WOLF /HONDA CB190R /RANGER CFZ250 428H 45T BOST</t>
  </si>
  <si>
    <t>CAT-1676</t>
  </si>
  <si>
    <t>CATALINA DAYTONA DY250 SCORPION 428H 46D 4H CONCAVO ESPECIAL BOST</t>
  </si>
  <si>
    <t>CAT-2391</t>
  </si>
  <si>
    <t>CATALINA FACTORY FX250AK47 520H 41T 4H CONCAVO /DY250TEKKEN /SCRAMBLER</t>
  </si>
  <si>
    <t>EST-D1622</t>
  </si>
  <si>
    <t>PAR</t>
  </si>
  <si>
    <t>ESTRIBO DELANTERO DAYTONA DY200WOLF /RANGER CFZ250 SOLO BOST</t>
  </si>
  <si>
    <t>EST-D1682</t>
  </si>
  <si>
    <t>ESTRIBO DELANTERO DAYTONA DY250 SRAMBLER SOLO BOST</t>
  </si>
  <si>
    <t>EST-D4022-P</t>
  </si>
  <si>
    <t>ESTRIBO DELANTERO IGM WIND200 SOLO PLOMO /TUKO CR5 EVO BOST</t>
  </si>
  <si>
    <t>EST-P1623-D</t>
  </si>
  <si>
    <t>ESTRIBO POSTERIOR DAYTONA DY200 WOLF DER. C/BASE /RANGER CFZ250 BOST</t>
  </si>
  <si>
    <t>EST-P1623-I</t>
  </si>
  <si>
    <t>ESTRIBO POSTERIOR DAYTONA DY200 WOLF IZQ. C/BASE /RANGER CFZ250 BOST</t>
  </si>
  <si>
    <t>EST-P1684</t>
  </si>
  <si>
    <t>ESTRIBO POSTERIOR DAYTONA DY250 SCRAMBLER SOLO BOST</t>
  </si>
  <si>
    <t>MAN-B1623-</t>
  </si>
  <si>
    <t>MANIJA CON BOMBA DAYTONA DY200WOLF /IGM WIND200 /Z1 AK200 NEGRO BOST</t>
  </si>
  <si>
    <t>MAN-B1663-</t>
  </si>
  <si>
    <t>MANIJA CON BOMBA DAYTONA DY250 RX /SHARKII /AXXO TRZ250 NEGRO BOST</t>
  </si>
  <si>
    <t>MAN-B1723-</t>
  </si>
  <si>
    <t>MANIJA CON BOMBA DAYTONA DY250 TEKKEN /AXXO TRACKER250 NEGRO BOST</t>
  </si>
  <si>
    <t>MAN-F1625-</t>
  </si>
  <si>
    <t>MANIJA SOLA FRENO DAYTONA DY200WOLF /IGM WIND200 NEGRO BOST</t>
  </si>
  <si>
    <t>MOR-313-NA</t>
  </si>
  <si>
    <t>MORDAZA AXXO TRACKER250 DEL. NARANJA BOST</t>
  </si>
  <si>
    <t>MOR-315-NA</t>
  </si>
  <si>
    <t>MORDAZA AXXO TRACKER250 POST. NARANJA BOST</t>
  </si>
  <si>
    <t>MOR-3269</t>
  </si>
  <si>
    <t>MORDAZA HONDA CB190R /DAYTONA WOLF200 /RANGER CFZ250 DEL. BOST</t>
  </si>
  <si>
    <t>PED-C6642-</t>
  </si>
  <si>
    <t>PEDAL CAMBIO SHINERAY GP200 /WING EVO /VENOM GT200 CROMADO BOST</t>
  </si>
  <si>
    <t>PED-C9182</t>
  </si>
  <si>
    <t>PEDAL CAMBIO YAMAHA FZ25 CROMADO BOST</t>
  </si>
  <si>
    <t>PED-F6644</t>
  </si>
  <si>
    <t>PEDAL FRENO SHINERAY GP200 CROMADO BOST</t>
  </si>
  <si>
    <t>PIS-T1725</t>
  </si>
  <si>
    <t>JGO</t>
  </si>
  <si>
    <t>PISTA TIMON DAYTONA DY250TEKKEN /DY250SCORPION /AXXO TRACKER250 PALILL</t>
  </si>
  <si>
    <t>STO-1580-BL</t>
  </si>
  <si>
    <t>STOP DAYTONA DY250SCORPION /AXXO TRX200 /TRZ250 LED 3CABLES BOST</t>
  </si>
  <si>
    <t>STO-3269-R</t>
  </si>
  <si>
    <t>STOP HONDA CB190R /DY200 WOLF /RANGER CFZ250 ROJO</t>
  </si>
  <si>
    <t>STO-6642-BL</t>
  </si>
  <si>
    <t>STOP SHINERAY GP200 LED 3CABLES /DAYTONA WING EVO II /AXXO F51 BOST</t>
  </si>
  <si>
    <t>TEN-8714</t>
  </si>
  <si>
    <t>TENSOR CADENILLA WY125 /200 /GP200 /SKR200 /FACT FX250 /TK CR5GT /DY25</t>
  </si>
  <si>
    <t>TRO-C1617</t>
  </si>
  <si>
    <t>TROMPO CAMBIO DAYTONA DY200WOLF 7PUNTOS (4GRANDE Y 3PEQEIÑO) 2HUECOS B</t>
  </si>
  <si>
    <t>TRO-C1743</t>
  </si>
  <si>
    <t>TROMPO CAMBIO DY300SUPERWOLF /ADV300R /SCAMBLER300 7PUNTOS (4GRANDE Y</t>
  </si>
  <si>
    <t>TRO-M8711</t>
  </si>
  <si>
    <t>TROMPO DE MANIJA EMBRAGUE WY125 /DY150EAGLE /GP200 SIN CABLE BOST</t>
  </si>
  <si>
    <t>TRO-M38</t>
  </si>
  <si>
    <t>TROMPO STOP DE MANIJA MT150 SIN CABLE BOST</t>
  </si>
  <si>
    <t>DEVOLUCION</t>
  </si>
  <si>
    <t>Columna1</t>
  </si>
  <si>
    <t>precio unitario con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</si>
</sst>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  <font>
      <b/>
      <sz val="11"/>
      <color rgb="FFFFFFFF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3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3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  <xf numFmtId="0" fontId="3" fillId="0" borderId="0" xfId="0" applyFont="1" applyAlignment="1">
      <alignment horizontal="right"/>
    </xf>
    <xf numFmtId="164" fontId="3" fillId="0" borderId="2" xfId="0" applyNumberFormat="1" applyFont="1" applyBorder="1"/>
    <xf numFmtId="10" fontId="0" fillId="0" borderId="0" xfId="0" applyNumberFormat="1"/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8">
    <dxf>
      <numFmt numFmtId="164" formatCode="\$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\$#,##0.00"/>
      <fill>
        <patternFill patternType="solid">
          <fgColor rgb="FFF9FAFB"/>
          <bgColor rgb="FFF9FAFB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\$#,##0.00"/>
      <fill>
        <patternFill patternType="solid">
          <fgColor rgb="FFF9FAFB"/>
          <bgColor rgb="FFF9FAFB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rgb="FFF9FAFB"/>
          <bgColor rgb="FFF9FAFB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rgb="FFF9FAFB"/>
          <bgColor rgb="FFF9FAF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rgb="FFF9FAFB"/>
          <bgColor rgb="FFF9FAF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rgb="FFF9FAFB"/>
          <bgColor rgb="FFF9FAF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B99967-2B4C-4D82-A215-B769FA7A428B}" name="Tabla1" displayName="Tabla1" ref="A1:H37" totalsRowShown="0" headerRowDxfId="7">
  <autoFilter ref="A1:H37" xr:uid="{F8B99967-2B4C-4D82-A215-B769FA7A428B}">
    <filterColumn colId="6">
      <filters blank="1"/>
    </filterColumn>
  </autoFilter>
  <tableColumns count="8">
    <tableColumn id="1" xr3:uid="{5C18D169-7A83-401E-808E-C2606F799347}" name="CANT." dataDxfId="6"/>
    <tableColumn id="2" xr3:uid="{B6D78226-F489-4762-945A-917A64404001}" name="CÓDIGO" dataDxfId="5"/>
    <tableColumn id="3" xr3:uid="{217BC4A2-1603-42C4-A90F-AB6DEBBF08C3}" name="UND." dataDxfId="4"/>
    <tableColumn id="4" xr3:uid="{3B8D8DA4-8D34-4CF3-A231-07A2E35A5A1E}" name="DESCRIPCIÓN" dataDxfId="3"/>
    <tableColumn id="5" xr3:uid="{BFB152D3-64B0-4506-A55F-BA0FCBC5851C}" name="PRECIO UNITARIO" dataDxfId="2"/>
    <tableColumn id="6" xr3:uid="{F430209C-596B-49EE-8F5F-B20A6C2659C6}" name="Columna1" dataDxfId="1"/>
    <tableColumn id="7" xr3:uid="{A5A27306-4A07-4BEC-B7A4-2AC6AC38BF0F}" name="DEVOLUCION"/>
    <tableColumn id="8" xr3:uid="{F15DED35-2DB6-404F-8E6D-9E2EB2C05E75}" name="precio unitario con iva" dataDxfId="0">
      <calculatedColumnFormula>Tabla1[[#This Row],[PRECIO UNITARIO]]*0.8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zoomScale="115" zoomScaleNormal="115" workbookViewId="0">
      <selection activeCell="B21" sqref="B21"/>
    </sheetView>
  </sheetViews>
  <sheetFormatPr baseColWidth="10" defaultColWidth="8.88671875" defaultRowHeight="14.4" x14ac:dyDescent="0.3"/>
  <cols>
    <col min="1" max="1" width="10" customWidth="1"/>
    <col min="2" max="2" width="21.21875" customWidth="1"/>
    <col min="3" max="3" width="10" customWidth="1"/>
    <col min="4" max="4" width="75" customWidth="1"/>
    <col min="5" max="5" width="18.109375" customWidth="1"/>
    <col min="6" max="6" width="8.88671875" hidden="1" customWidth="1"/>
    <col min="7" max="7" width="18.44140625" hidden="1" customWidth="1"/>
    <col min="8" max="8" width="16" customWidth="1"/>
    <col min="9" max="9" width="1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t="s">
        <v>82</v>
      </c>
      <c r="G1" s="1" t="s">
        <v>81</v>
      </c>
      <c r="H1" s="14" t="s">
        <v>83</v>
      </c>
      <c r="I1" s="1" t="s">
        <v>5</v>
      </c>
    </row>
    <row r="2" spans="1:9" x14ac:dyDescent="0.3">
      <c r="A2" s="3">
        <v>3</v>
      </c>
      <c r="B2" s="4" t="s">
        <v>6</v>
      </c>
      <c r="C2" s="4" t="s">
        <v>7</v>
      </c>
      <c r="D2" s="5" t="s">
        <v>8</v>
      </c>
      <c r="E2" s="6">
        <v>2.2000000000000002</v>
      </c>
      <c r="F2" s="6">
        <v>2.2000000000000002</v>
      </c>
      <c r="G2" s="6">
        <v>2.2000000000000002</v>
      </c>
      <c r="H2" s="6">
        <f>Tabla1[[#This Row],[PRECIO UNITARIO]]*0.8</f>
        <v>1.7600000000000002</v>
      </c>
      <c r="I2" s="6">
        <f>A2*E2</f>
        <v>6.6000000000000005</v>
      </c>
    </row>
    <row r="3" spans="1:9" x14ac:dyDescent="0.3">
      <c r="A3" s="7">
        <v>3</v>
      </c>
      <c r="B3" s="8" t="s">
        <v>9</v>
      </c>
      <c r="C3" s="8" t="s">
        <v>7</v>
      </c>
      <c r="D3" s="9" t="s">
        <v>10</v>
      </c>
      <c r="E3" s="10">
        <v>6.2</v>
      </c>
      <c r="H3" s="6">
        <f>Tabla1[[#This Row],[PRECIO UNITARIO]]*0.8</f>
        <v>4.9600000000000009</v>
      </c>
      <c r="I3" s="10">
        <f>A3*E3</f>
        <v>18.600000000000001</v>
      </c>
    </row>
    <row r="4" spans="1:9" x14ac:dyDescent="0.3">
      <c r="A4" s="3">
        <v>6</v>
      </c>
      <c r="B4" s="4" t="s">
        <v>11</v>
      </c>
      <c r="C4" s="4" t="s">
        <v>7</v>
      </c>
      <c r="D4" s="5" t="s">
        <v>12</v>
      </c>
      <c r="E4" s="6">
        <v>12</v>
      </c>
      <c r="H4" s="6">
        <f>Tabla1[[#This Row],[PRECIO UNITARIO]]*0.8</f>
        <v>9.6000000000000014</v>
      </c>
      <c r="I4" s="6">
        <f>A4*E4</f>
        <v>72</v>
      </c>
    </row>
    <row r="5" spans="1:9" x14ac:dyDescent="0.3">
      <c r="A5" s="7">
        <v>2</v>
      </c>
      <c r="B5" s="8" t="s">
        <v>13</v>
      </c>
      <c r="C5" s="8" t="s">
        <v>7</v>
      </c>
      <c r="D5" s="9" t="s">
        <v>14</v>
      </c>
      <c r="E5" s="10">
        <v>12.5</v>
      </c>
      <c r="H5" s="6">
        <f>Tabla1[[#This Row],[PRECIO UNITARIO]]*0.8</f>
        <v>10</v>
      </c>
      <c r="I5" s="10">
        <f>A5*E5</f>
        <v>25</v>
      </c>
    </row>
    <row r="6" spans="1:9" x14ac:dyDescent="0.3">
      <c r="A6" s="3">
        <v>2</v>
      </c>
      <c r="B6" s="4" t="s">
        <v>15</v>
      </c>
      <c r="C6" s="4" t="s">
        <v>7</v>
      </c>
      <c r="D6" s="5" t="s">
        <v>16</v>
      </c>
      <c r="E6" s="6">
        <v>19.5</v>
      </c>
      <c r="H6" s="6">
        <f>Tabla1[[#This Row],[PRECIO UNITARIO]]*0.8</f>
        <v>15.600000000000001</v>
      </c>
      <c r="I6" s="6">
        <f>A6*E6</f>
        <v>39</v>
      </c>
    </row>
    <row r="7" spans="1:9" x14ac:dyDescent="0.3">
      <c r="A7" s="7">
        <v>15</v>
      </c>
      <c r="B7" s="8" t="s">
        <v>17</v>
      </c>
      <c r="C7" s="8" t="s">
        <v>7</v>
      </c>
      <c r="D7" s="9" t="s">
        <v>18</v>
      </c>
      <c r="E7" s="10">
        <v>5.8</v>
      </c>
      <c r="H7" s="6">
        <f>Tabla1[[#This Row],[PRECIO UNITARIO]]*0.8</f>
        <v>4.6399999999999997</v>
      </c>
      <c r="I7" s="10">
        <f>A7*E7</f>
        <v>87</v>
      </c>
    </row>
    <row r="8" spans="1:9" x14ac:dyDescent="0.3">
      <c r="A8" s="3">
        <v>3</v>
      </c>
      <c r="B8" s="4" t="s">
        <v>19</v>
      </c>
      <c r="C8" s="4" t="s">
        <v>7</v>
      </c>
      <c r="D8" s="5" t="s">
        <v>20</v>
      </c>
      <c r="E8" s="6">
        <v>2</v>
      </c>
      <c r="H8" s="6">
        <f>Tabla1[[#This Row],[PRECIO UNITARIO]]*0.8</f>
        <v>1.6</v>
      </c>
      <c r="I8" s="6">
        <f>A8*E8</f>
        <v>6</v>
      </c>
    </row>
    <row r="9" spans="1:9" hidden="1" x14ac:dyDescent="0.3">
      <c r="A9" s="7">
        <v>5</v>
      </c>
      <c r="B9" s="8" t="s">
        <v>21</v>
      </c>
      <c r="C9" s="8" t="s">
        <v>7</v>
      </c>
      <c r="D9" s="9" t="s">
        <v>22</v>
      </c>
      <c r="E9" s="10">
        <v>12</v>
      </c>
      <c r="G9">
        <v>5</v>
      </c>
      <c r="H9" s="13">
        <f>Tabla1[[#This Row],[PRECIO UNITARIO]]*0.8</f>
        <v>9.6000000000000014</v>
      </c>
      <c r="I9" s="10">
        <f>A9*E9</f>
        <v>60</v>
      </c>
    </row>
    <row r="10" spans="1:9" hidden="1" x14ac:dyDescent="0.3">
      <c r="A10" s="3">
        <v>3</v>
      </c>
      <c r="B10" s="4" t="s">
        <v>23</v>
      </c>
      <c r="C10" s="4" t="s">
        <v>7</v>
      </c>
      <c r="D10" s="5" t="s">
        <v>24</v>
      </c>
      <c r="E10" s="6">
        <v>5.4</v>
      </c>
      <c r="G10">
        <v>3</v>
      </c>
      <c r="H10" s="13">
        <f>Tabla1[[#This Row],[PRECIO UNITARIO]]*0.8</f>
        <v>4.32</v>
      </c>
      <c r="I10" s="6">
        <f>A10*E10</f>
        <v>16.200000000000003</v>
      </c>
    </row>
    <row r="11" spans="1:9" x14ac:dyDescent="0.3">
      <c r="A11" s="7">
        <v>3</v>
      </c>
      <c r="B11" s="8" t="s">
        <v>25</v>
      </c>
      <c r="C11" s="8" t="s">
        <v>7</v>
      </c>
      <c r="D11" s="9" t="s">
        <v>26</v>
      </c>
      <c r="E11" s="10">
        <v>5.3</v>
      </c>
      <c r="H11" s="6">
        <f>Tabla1[[#This Row],[PRECIO UNITARIO]]*0.8</f>
        <v>4.24</v>
      </c>
      <c r="I11" s="10">
        <f>A11*E11</f>
        <v>15.899999999999999</v>
      </c>
    </row>
    <row r="12" spans="1:9" x14ac:dyDescent="0.3">
      <c r="A12" s="3">
        <v>10</v>
      </c>
      <c r="B12" s="4" t="s">
        <v>27</v>
      </c>
      <c r="C12" s="4" t="s">
        <v>7</v>
      </c>
      <c r="D12" s="5" t="s">
        <v>28</v>
      </c>
      <c r="E12" s="6">
        <v>7.5</v>
      </c>
      <c r="H12" s="6">
        <f>Tabla1[[#This Row],[PRECIO UNITARIO]]*0.8</f>
        <v>6</v>
      </c>
      <c r="I12" s="6">
        <f>A12*E12</f>
        <v>75</v>
      </c>
    </row>
    <row r="13" spans="1:9" x14ac:dyDescent="0.3">
      <c r="A13" s="7">
        <v>1</v>
      </c>
      <c r="B13" s="8" t="s">
        <v>29</v>
      </c>
      <c r="C13" s="8" t="s">
        <v>30</v>
      </c>
      <c r="D13" s="9" t="s">
        <v>31</v>
      </c>
      <c r="E13" s="10">
        <v>7.5</v>
      </c>
      <c r="H13" s="6">
        <f>Tabla1[[#This Row],[PRECIO UNITARIO]]*0.8</f>
        <v>6</v>
      </c>
      <c r="I13" s="10">
        <f>A13*E13</f>
        <v>7.5</v>
      </c>
    </row>
    <row r="14" spans="1:9" hidden="1" x14ac:dyDescent="0.3">
      <c r="A14" s="3">
        <v>4</v>
      </c>
      <c r="B14" s="4" t="s">
        <v>32</v>
      </c>
      <c r="C14" s="4" t="s">
        <v>30</v>
      </c>
      <c r="D14" s="5" t="s">
        <v>33</v>
      </c>
      <c r="E14" s="6">
        <v>18.5</v>
      </c>
      <c r="G14">
        <v>4</v>
      </c>
      <c r="H14" s="13">
        <f>Tabla1[[#This Row],[PRECIO UNITARIO]]*0.8</f>
        <v>14.8</v>
      </c>
      <c r="I14" s="6">
        <f>A14*E14</f>
        <v>74</v>
      </c>
    </row>
    <row r="15" spans="1:9" x14ac:dyDescent="0.3">
      <c r="A15" s="7">
        <v>6</v>
      </c>
      <c r="B15" s="8" t="s">
        <v>34</v>
      </c>
      <c r="C15" s="8" t="s">
        <v>30</v>
      </c>
      <c r="D15" s="9" t="s">
        <v>35</v>
      </c>
      <c r="E15" s="10">
        <v>6</v>
      </c>
      <c r="H15" s="6">
        <f>Tabla1[[#This Row],[PRECIO UNITARIO]]*0.8</f>
        <v>4.8000000000000007</v>
      </c>
      <c r="I15" s="10">
        <f>A15*E15</f>
        <v>36</v>
      </c>
    </row>
    <row r="16" spans="1:9" x14ac:dyDescent="0.3">
      <c r="A16" s="3">
        <v>4</v>
      </c>
      <c r="B16" s="4" t="s">
        <v>36</v>
      </c>
      <c r="C16" s="4" t="s">
        <v>7</v>
      </c>
      <c r="D16" s="5" t="s">
        <v>37</v>
      </c>
      <c r="E16" s="6">
        <v>12</v>
      </c>
      <c r="H16" s="6">
        <f>Tabla1[[#This Row],[PRECIO UNITARIO]]*0.8</f>
        <v>9.6000000000000014</v>
      </c>
      <c r="I16" s="6">
        <f>A16*E16</f>
        <v>48</v>
      </c>
    </row>
    <row r="17" spans="1:9" x14ac:dyDescent="0.3">
      <c r="A17" s="7">
        <v>4</v>
      </c>
      <c r="B17" s="8" t="s">
        <v>38</v>
      </c>
      <c r="C17" s="8" t="s">
        <v>7</v>
      </c>
      <c r="D17" s="9" t="s">
        <v>39</v>
      </c>
      <c r="E17" s="10">
        <v>12</v>
      </c>
      <c r="H17" s="6">
        <f>Tabla1[[#This Row],[PRECIO UNITARIO]]*0.8</f>
        <v>9.6000000000000014</v>
      </c>
      <c r="I17" s="10">
        <f>A17*E17</f>
        <v>48</v>
      </c>
    </row>
    <row r="18" spans="1:9" x14ac:dyDescent="0.3">
      <c r="A18" s="3">
        <v>6</v>
      </c>
      <c r="B18" s="15" t="s">
        <v>40</v>
      </c>
      <c r="C18" s="4" t="s">
        <v>30</v>
      </c>
      <c r="D18" s="5" t="s">
        <v>41</v>
      </c>
      <c r="E18" s="6">
        <v>4.5</v>
      </c>
      <c r="H18" s="6">
        <f>Tabla1[[#This Row],[PRECIO UNITARIO]]*0.8</f>
        <v>3.6</v>
      </c>
      <c r="I18" s="6">
        <f>A18*E18</f>
        <v>27</v>
      </c>
    </row>
    <row r="19" spans="1:9" x14ac:dyDescent="0.3">
      <c r="A19" s="7">
        <v>2</v>
      </c>
      <c r="B19" s="16" t="s">
        <v>42</v>
      </c>
      <c r="C19" s="8" t="s">
        <v>7</v>
      </c>
      <c r="D19" s="9" t="s">
        <v>43</v>
      </c>
      <c r="E19" s="10">
        <v>9.1</v>
      </c>
      <c r="H19" s="6">
        <f>Tabla1[[#This Row],[PRECIO UNITARIO]]*0.8</f>
        <v>7.28</v>
      </c>
      <c r="I19" s="10">
        <f>A19*E19</f>
        <v>18.2</v>
      </c>
    </row>
    <row r="20" spans="1:9" x14ac:dyDescent="0.3">
      <c r="A20" s="3">
        <v>4</v>
      </c>
      <c r="B20" s="15" t="s">
        <v>44</v>
      </c>
      <c r="C20" s="4" t="s">
        <v>7</v>
      </c>
      <c r="D20" s="5" t="s">
        <v>45</v>
      </c>
      <c r="E20" s="6">
        <v>9.9</v>
      </c>
      <c r="H20" s="6">
        <f>Tabla1[[#This Row],[PRECIO UNITARIO]]*0.8</f>
        <v>7.9200000000000008</v>
      </c>
      <c r="I20" s="6">
        <f>A20*E20</f>
        <v>39.6</v>
      </c>
    </row>
    <row r="21" spans="1:9" x14ac:dyDescent="0.3">
      <c r="A21" s="7">
        <v>8</v>
      </c>
      <c r="B21" s="16" t="s">
        <v>46</v>
      </c>
      <c r="C21" s="8" t="s">
        <v>7</v>
      </c>
      <c r="D21" s="9" t="s">
        <v>47</v>
      </c>
      <c r="E21" s="10">
        <v>9.1</v>
      </c>
      <c r="H21" s="6">
        <f>Tabla1[[#This Row],[PRECIO UNITARIO]]*0.8</f>
        <v>7.28</v>
      </c>
      <c r="I21" s="10">
        <f>A21*E21</f>
        <v>72.8</v>
      </c>
    </row>
    <row r="22" spans="1:9" hidden="1" x14ac:dyDescent="0.3">
      <c r="A22" s="3">
        <v>3</v>
      </c>
      <c r="B22" s="4" t="s">
        <v>48</v>
      </c>
      <c r="C22" s="4" t="s">
        <v>7</v>
      </c>
      <c r="D22" s="5" t="s">
        <v>49</v>
      </c>
      <c r="E22" s="6">
        <v>1.1000000000000001</v>
      </c>
      <c r="G22">
        <v>3</v>
      </c>
      <c r="H22" s="13">
        <f>Tabla1[[#This Row],[PRECIO UNITARIO]]*0.8</f>
        <v>0.88000000000000012</v>
      </c>
      <c r="I22" s="6">
        <f>A22*E22</f>
        <v>3.3000000000000003</v>
      </c>
    </row>
    <row r="23" spans="1:9" hidden="1" x14ac:dyDescent="0.3">
      <c r="A23" s="7">
        <v>1</v>
      </c>
      <c r="B23" s="8" t="s">
        <v>50</v>
      </c>
      <c r="C23" s="8" t="s">
        <v>7</v>
      </c>
      <c r="D23" s="9" t="s">
        <v>51</v>
      </c>
      <c r="E23" s="10">
        <v>11</v>
      </c>
      <c r="G23">
        <v>1</v>
      </c>
      <c r="H23" s="13">
        <f>Tabla1[[#This Row],[PRECIO UNITARIO]]*0.8</f>
        <v>8.8000000000000007</v>
      </c>
      <c r="I23" s="10">
        <f>A23*E23</f>
        <v>11</v>
      </c>
    </row>
    <row r="24" spans="1:9" x14ac:dyDescent="0.3">
      <c r="A24" s="3">
        <v>1</v>
      </c>
      <c r="B24" s="4" t="s">
        <v>52</v>
      </c>
      <c r="C24" s="4" t="s">
        <v>7</v>
      </c>
      <c r="D24" s="5" t="s">
        <v>53</v>
      </c>
      <c r="E24" s="6">
        <v>15.5</v>
      </c>
      <c r="H24" s="6">
        <f>Tabla1[[#This Row],[PRECIO UNITARIO]]*0.8</f>
        <v>12.4</v>
      </c>
      <c r="I24" s="6">
        <f>A24*E24</f>
        <v>15.5</v>
      </c>
    </row>
    <row r="25" spans="1:9" hidden="1" x14ac:dyDescent="0.3">
      <c r="A25" s="7">
        <v>2</v>
      </c>
      <c r="B25" s="8" t="s">
        <v>54</v>
      </c>
      <c r="C25" s="8" t="s">
        <v>7</v>
      </c>
      <c r="D25" s="9" t="s">
        <v>55</v>
      </c>
      <c r="E25" s="10">
        <v>11</v>
      </c>
      <c r="G25">
        <v>2</v>
      </c>
      <c r="H25" s="13">
        <f>Tabla1[[#This Row],[PRECIO UNITARIO]]*0.8</f>
        <v>8.8000000000000007</v>
      </c>
      <c r="I25" s="10">
        <f>A25*E25</f>
        <v>22</v>
      </c>
    </row>
    <row r="26" spans="1:9" hidden="1" x14ac:dyDescent="0.3">
      <c r="A26" s="3">
        <v>5</v>
      </c>
      <c r="B26" s="4" t="s">
        <v>56</v>
      </c>
      <c r="C26" s="4" t="s">
        <v>7</v>
      </c>
      <c r="D26" s="5" t="s">
        <v>57</v>
      </c>
      <c r="E26" s="6">
        <v>4.8</v>
      </c>
      <c r="G26">
        <v>5</v>
      </c>
      <c r="H26" s="13">
        <f>Tabla1[[#This Row],[PRECIO UNITARIO]]*0.8</f>
        <v>3.84</v>
      </c>
      <c r="I26" s="6">
        <f>A26*E26</f>
        <v>24</v>
      </c>
    </row>
    <row r="27" spans="1:9" hidden="1" x14ac:dyDescent="0.3">
      <c r="A27" s="7">
        <v>3</v>
      </c>
      <c r="B27" s="8" t="s">
        <v>58</v>
      </c>
      <c r="C27" s="8" t="s">
        <v>7</v>
      </c>
      <c r="D27" s="9" t="s">
        <v>59</v>
      </c>
      <c r="E27" s="10">
        <v>4.5</v>
      </c>
      <c r="G27">
        <v>3</v>
      </c>
      <c r="H27" s="13">
        <f>Tabla1[[#This Row],[PRECIO UNITARIO]]*0.8</f>
        <v>3.6</v>
      </c>
      <c r="I27" s="10">
        <f>A27*E27</f>
        <v>13.5</v>
      </c>
    </row>
    <row r="28" spans="1:9" x14ac:dyDescent="0.3">
      <c r="A28" s="3">
        <v>2</v>
      </c>
      <c r="B28" s="4" t="s">
        <v>60</v>
      </c>
      <c r="C28" s="4" t="s">
        <v>7</v>
      </c>
      <c r="D28" s="5" t="s">
        <v>61</v>
      </c>
      <c r="E28" s="6">
        <v>5.5</v>
      </c>
      <c r="H28" s="6">
        <f>Tabla1[[#This Row],[PRECIO UNITARIO]]*0.8</f>
        <v>4.4000000000000004</v>
      </c>
      <c r="I28" s="6">
        <f>A28*E28</f>
        <v>11</v>
      </c>
    </row>
    <row r="29" spans="1:9" x14ac:dyDescent="0.3">
      <c r="A29" s="7">
        <v>6</v>
      </c>
      <c r="B29" s="8" t="s">
        <v>62</v>
      </c>
      <c r="C29" s="8" t="s">
        <v>63</v>
      </c>
      <c r="D29" s="9" t="s">
        <v>64</v>
      </c>
      <c r="E29" s="10">
        <v>2.8</v>
      </c>
      <c r="H29" s="6">
        <f>Tabla1[[#This Row],[PRECIO UNITARIO]]*0.8</f>
        <v>2.2399999999999998</v>
      </c>
      <c r="I29" s="10">
        <f>A29*E29</f>
        <v>16.799999999999997</v>
      </c>
    </row>
    <row r="30" spans="1:9" x14ac:dyDescent="0.3">
      <c r="A30" s="3">
        <v>3</v>
      </c>
      <c r="B30" s="4" t="s">
        <v>65</v>
      </c>
      <c r="C30" s="4" t="s">
        <v>7</v>
      </c>
      <c r="D30" s="5" t="s">
        <v>66</v>
      </c>
      <c r="E30" s="6">
        <v>5.5</v>
      </c>
      <c r="H30" s="6">
        <f>Tabla1[[#This Row],[PRECIO UNITARIO]]*0.8</f>
        <v>4.4000000000000004</v>
      </c>
      <c r="I30" s="6">
        <f>A30*E30</f>
        <v>16.5</v>
      </c>
    </row>
    <row r="31" spans="1:9" hidden="1" x14ac:dyDescent="0.3">
      <c r="A31" s="7">
        <v>3</v>
      </c>
      <c r="B31" s="8" t="s">
        <v>67</v>
      </c>
      <c r="C31" s="8" t="s">
        <v>7</v>
      </c>
      <c r="D31" s="9" t="s">
        <v>68</v>
      </c>
      <c r="E31" s="10">
        <v>11.8</v>
      </c>
      <c r="G31">
        <v>3</v>
      </c>
      <c r="H31" s="13">
        <f>Tabla1[[#This Row],[PRECIO UNITARIO]]*0.8</f>
        <v>9.4400000000000013</v>
      </c>
      <c r="I31" s="10">
        <f>A31*E31</f>
        <v>35.400000000000006</v>
      </c>
    </row>
    <row r="32" spans="1:9" x14ac:dyDescent="0.3">
      <c r="A32" s="3">
        <v>4</v>
      </c>
      <c r="B32" s="4" t="s">
        <v>69</v>
      </c>
      <c r="C32" s="4" t="s">
        <v>7</v>
      </c>
      <c r="D32" s="5" t="s">
        <v>70</v>
      </c>
      <c r="E32" s="6">
        <v>12</v>
      </c>
      <c r="H32" s="6">
        <f>Tabla1[[#This Row],[PRECIO UNITARIO]]*0.8</f>
        <v>9.6000000000000014</v>
      </c>
      <c r="I32" s="6">
        <f>A32*E32</f>
        <v>48</v>
      </c>
    </row>
    <row r="33" spans="1:9" x14ac:dyDescent="0.3">
      <c r="A33" s="7">
        <v>6</v>
      </c>
      <c r="B33" s="8" t="s">
        <v>71</v>
      </c>
      <c r="C33" s="8" t="s">
        <v>7</v>
      </c>
      <c r="D33" s="9" t="s">
        <v>72</v>
      </c>
      <c r="E33" s="10">
        <v>1.5</v>
      </c>
      <c r="H33" s="6">
        <f>Tabla1[[#This Row],[PRECIO UNITARIO]]*0.8</f>
        <v>1.2000000000000002</v>
      </c>
      <c r="I33" s="10">
        <f>A33*E33</f>
        <v>9</v>
      </c>
    </row>
    <row r="34" spans="1:9" hidden="1" x14ac:dyDescent="0.3">
      <c r="A34" s="3">
        <v>4</v>
      </c>
      <c r="B34" s="4" t="s">
        <v>73</v>
      </c>
      <c r="C34" s="4" t="s">
        <v>7</v>
      </c>
      <c r="D34" s="5" t="s">
        <v>74</v>
      </c>
      <c r="E34" s="6">
        <v>1.75</v>
      </c>
      <c r="G34">
        <v>4</v>
      </c>
      <c r="H34" s="13">
        <f>Tabla1[[#This Row],[PRECIO UNITARIO]]*0.8</f>
        <v>1.4000000000000001</v>
      </c>
      <c r="I34" s="6">
        <f>A34*E34</f>
        <v>7</v>
      </c>
    </row>
    <row r="35" spans="1:9" hidden="1" x14ac:dyDescent="0.3">
      <c r="A35" s="7">
        <v>3</v>
      </c>
      <c r="B35" s="8" t="s">
        <v>75</v>
      </c>
      <c r="C35" s="8" t="s">
        <v>7</v>
      </c>
      <c r="D35" s="9" t="s">
        <v>76</v>
      </c>
      <c r="E35" s="10">
        <v>1.75</v>
      </c>
      <c r="G35">
        <v>3</v>
      </c>
      <c r="H35" s="13">
        <f>Tabla1[[#This Row],[PRECIO UNITARIO]]*0.8</f>
        <v>1.4000000000000001</v>
      </c>
      <c r="I35" s="10">
        <f>A35*E35</f>
        <v>5.25</v>
      </c>
    </row>
    <row r="36" spans="1:9" hidden="1" x14ac:dyDescent="0.3">
      <c r="A36" s="3">
        <v>10</v>
      </c>
      <c r="B36" s="4" t="s">
        <v>77</v>
      </c>
      <c r="C36" s="4" t="s">
        <v>7</v>
      </c>
      <c r="D36" s="5" t="s">
        <v>78</v>
      </c>
      <c r="E36" s="6">
        <v>0.2</v>
      </c>
      <c r="G36">
        <v>10</v>
      </c>
      <c r="H36" s="13">
        <f>Tabla1[[#This Row],[PRECIO UNITARIO]]*0.8</f>
        <v>0.16000000000000003</v>
      </c>
      <c r="I36" s="6">
        <f>A36*E36</f>
        <v>2</v>
      </c>
    </row>
    <row r="37" spans="1:9" hidden="1" x14ac:dyDescent="0.3">
      <c r="A37" s="7">
        <v>10</v>
      </c>
      <c r="B37" s="8" t="s">
        <v>79</v>
      </c>
      <c r="C37" s="8" t="s">
        <v>7</v>
      </c>
      <c r="D37" s="9" t="s">
        <v>80</v>
      </c>
      <c r="E37" s="10">
        <v>0.25</v>
      </c>
      <c r="G37">
        <v>10</v>
      </c>
      <c r="H37" s="13">
        <f>Tabla1[[#This Row],[PRECIO UNITARIO]]*0.8</f>
        <v>0.2</v>
      </c>
      <c r="I37" s="10">
        <f>A37*E37</f>
        <v>2.5</v>
      </c>
    </row>
    <row r="39" spans="1:9" ht="15" thickBot="1" x14ac:dyDescent="0.35">
      <c r="D39" s="11"/>
      <c r="I39" s="1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Avila</cp:lastModifiedBy>
  <dcterms:created xsi:type="dcterms:W3CDTF">2026-08-15T17:07:20Z</dcterms:created>
  <dcterms:modified xsi:type="dcterms:W3CDTF">2026-08-18T17:22:22Z</dcterms:modified>
</cp:coreProperties>
</file>